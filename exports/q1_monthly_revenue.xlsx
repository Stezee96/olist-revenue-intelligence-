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1_{72AF1D4D-E014-4692-9CE1-9E4DFBBB9B60}" xr6:coauthVersionLast="47" xr6:coauthVersionMax="47" xr10:uidLastSave="{00000000-0000-0000-0000-000000000000}"/>
  <bookViews>
    <workbookView xWindow="-105" yWindow="0" windowWidth="26010" windowHeight="20985" xr2:uid="{B9D5438D-E32D-435B-9D6F-95181FD2E65D}"/>
  </bookViews>
  <sheets>
    <sheet name="Sheet1" sheetId="2" r:id="rId1"/>
    <sheet name="monthly_revenu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<sst xmlns="http://schemas.openxmlformats.org/spreadsheetml/2006/main" count="32" uniqueCount="20">
  <si>
    <t>month</t>
  </si>
  <si>
    <t>revenue</t>
  </si>
  <si>
    <t>Row Labels</t>
  </si>
  <si>
    <t>Grand Total</t>
  </si>
  <si>
    <t>2016</t>
  </si>
  <si>
    <t>2017</t>
  </si>
  <si>
    <t>2018</t>
  </si>
  <si>
    <t>Sum of revenue</t>
  </si>
  <si>
    <t>Sep</t>
  </si>
  <si>
    <t>Oct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</si>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</sst>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[monthly_revenue_analysis.csv.xlsx]Sheet1!PivotTable1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(Sept 2016 – Aug 2018).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Sheet1!$A$4:$A$31</c:f>
              <c:multiLvlStrCache>
                <c:ptCount val="24"/>
                <c:lvl>
                  <c:pt idx="0">
                    <c:v>Sep</c:v>
                  </c:pt>
                  <c:pt idx="1">
                    <c:v>Oct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</c:lvl>
                <c:lvl>
                  <c:pt idx="0">
                    <c:v>2016</c:v>
                  </c:pt>
                  <c:pt idx="3">
                    <c:v>2017</c:v>
                  </c:pt>
                  <c:pt idx="15">
                    <c:v>2018</c:v>
                  </c:pt>
                </c:lvl>
              </c:multiLvlStrCache>
            </c:multiLvlStrRef>
          </c:cat>
          <c:val>
            <c:numRef>
              <c:f>Sheet1!$B$4:$B$31</c:f>
              <c:numCache>
                <c:formatCode>0.00</c:formatCode>
                <c:ptCount val="24"/>
                <c:pt idx="0">
                  <c:v>267.36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C-4DF7-AC9F-5FED0713B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72576"/>
        <c:axId val="632412048"/>
      </c:lineChart>
      <c:catAx>
        <c:axId val="513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12048"/>
        <c:crosses val="autoZero"/>
        <c:auto val="1"/>
        <c:lblAlgn val="ctr"/>
        <c:lblOffset val="100"/>
        <c:noMultiLvlLbl val="0"/>
      </c:catAx>
      <c:valAx>
        <c:axId val="6324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2</xdr:row>
      <xdr:rowOff>119062</xdr:rowOff>
    </xdr:from>
    <xdr:to>
      <xdr:col>18</xdr:col>
      <xdr:colOff>571500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1C506-572F-406F-A83D-3D547D9AE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0.87648</cdr:x>
      <cdr:y>0.27305</cdr:y>
    </cdr:from>
    <cdr:to>
      <cdr:x>0.99111</cdr:x>
      <cdr:y>0.50307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E303496-C9D7-5B45-7453-8175297D1A54}"/>
            </a:ext>
          </a:extLst>
        </cdr:cNvPr>
        <cdr:cNvSpPr txBox="1"/>
      </cdr:nvSpPr>
      <cdr:spPr>
        <a:xfrm xmlns:a="http://schemas.openxmlformats.org/drawingml/2006/main">
          <a:off x="8448676" y="1481137"/>
          <a:ext cx="1104900" cy="1247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Sept</a:t>
          </a:r>
          <a:r>
            <a:rPr lang="en-US" sz="1100" kern="1200" baseline="0"/>
            <a:t> 2018: partial month - data collection ends mid-month</a:t>
          </a:r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Siciliano" refreshedDate="46206.758500115742" createdVersion="8" refreshedVersion="8" minRefreshableVersion="3" recordCount="24" xr:uid="{2717DD93-1457-4327-AE99-18E797980ABE}">
  <cacheSource type="worksheet">
    <worksheetSource ref="A1:B25" sheet="monthly_revenue"/>
  </cacheSource>
  <cacheFields count="5">
    <cacheField name="month" numFmtId="22">
      <sharedItems containsSemiMixedTypes="0" containsNonDate="0" containsDate="1" containsString="0" minDate="2016-09-01T00:00:00" maxDate="2018-09-02T00:00:00" count="24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</sharedItems>
      <fieldGroup par="4"/>
    </cacheField>
    <cacheField name="revenue" numFmtId="0">
      <sharedItems containsSemiMixedTypes="0" containsString="0" containsNumber="1" minValue="10.9" maxValue="1010271.37"/>
    </cacheField>
    <cacheField name="Months (month)" numFmtId="0" databaseField="0">
      <fieldGroup base="0">
        <rangePr groupBy="months" startDate="2016-09-01T00:00:00" endDate="2018-09-02T00:00:00"/>
        <groupItems count="14">
          <s v="&lt;9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18"/>
        </groupItems>
      </fieldGroup>
    </cacheField>
    <cacheField name="Quarters (month)" numFmtId="0" databaseField="0">
      <fieldGroup base="0">
        <rangePr groupBy="quarters" startDate="2016-09-01T00:00:00" endDate="2018-09-02T00:00:00"/>
        <groupItems count="6">
          <s v="&lt;9/1/2016"/>
          <s v="Qtr1"/>
          <s v="Qtr2"/>
          <s v="Qtr3"/>
          <s v="Qtr4"/>
          <s v="&gt;9/2/2018"/>
        </groupItems>
      </fieldGroup>
    </cacheField>
    <cacheField name="Years (month)" numFmtId="0" databaseField="0">
      <fieldGroup base="0">
        <rangePr groupBy="years" startDate="2016-09-01T00:00:00" endDate="2018-09-02T00:00:00"/>
        <groupItems count="5">
          <s v="&lt;9/1/2016"/>
          <s v="2016"/>
          <s v="2017"/>
          <s v="2018"/>
          <s v="&gt;9/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67.36"/>
  </r>
  <r>
    <x v="1"/>
    <n v="49507.66"/>
  </r>
  <r>
    <x v="2"/>
    <n v="10.9"/>
  </r>
  <r>
    <x v="3"/>
    <n v="120312.87"/>
  </r>
  <r>
    <x v="4"/>
    <n v="247303.02"/>
  </r>
  <r>
    <x v="5"/>
    <n v="374344.3"/>
  </r>
  <r>
    <x v="6"/>
    <n v="359927.23"/>
  </r>
  <r>
    <x v="7"/>
    <n v="506071.14"/>
  </r>
  <r>
    <x v="8"/>
    <n v="433038.6"/>
  </r>
  <r>
    <x v="9"/>
    <n v="498031.48"/>
  </r>
  <r>
    <x v="10"/>
    <n v="573971.68000000005"/>
  </r>
  <r>
    <x v="11"/>
    <n v="624401.68999999994"/>
  </r>
  <r>
    <x v="12"/>
    <n v="664219.43000000005"/>
  </r>
  <r>
    <x v="13"/>
    <n v="1010271.37"/>
  </r>
  <r>
    <x v="14"/>
    <n v="743914.17"/>
  </r>
  <r>
    <x v="15"/>
    <n v="950030.36"/>
  </r>
  <r>
    <x v="16"/>
    <n v="844178.71"/>
  </r>
  <r>
    <x v="17"/>
    <n v="983213.44"/>
  </r>
  <r>
    <x v="18"/>
    <n v="996647.75"/>
  </r>
  <r>
    <x v="19"/>
    <n v="996517.68"/>
  </r>
  <r>
    <x v="20"/>
    <n v="865124.31"/>
  </r>
  <r>
    <x v="21"/>
    <n v="895507.22"/>
  </r>
  <r>
    <x v="22"/>
    <n v="854686.33"/>
  </r>
  <r>
    <x v="23"/>
    <n v="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64F7-D2BC-45E7-96D8-E80F704D4B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1" firstHeaderRow="1" firstDataRow="1" firstDataCol="1"/>
  <pivotFields count="5">
    <pivotField numFmtId="22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x="10"/>
        <item sd="0" x="11"/>
        <item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4"/>
    <field x="2"/>
  </rowFields>
  <rowItems count="28">
    <i>
      <x v="1"/>
    </i>
    <i r="1">
      <x v="9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revenue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1A3A-6477-4AA9-A9D7-96E20D479115}">
  <dimension ref="A3:B31"/>
  <sheetViews>
    <sheetView tabSelected="1" workbookViewId="0">
      <selection activeCell="M38" sqref="M38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2" t="s">
        <v>2</v>
      </c>
      <c r="B3" t="s">
        <v>7</v>
      </c>
    </row>
    <row r="4" spans="1:2" x14ac:dyDescent="0.25">
      <c r="A4" s="3" t="s">
        <v>4</v>
      </c>
      <c r="B4" s="5">
        <v>49785.920000000006</v>
      </c>
    </row>
    <row r="5" spans="1:2" x14ac:dyDescent="0.25">
      <c r="A5" s="4" t="s">
        <v>8</v>
      </c>
      <c r="B5" s="5">
        <v>267.36</v>
      </c>
    </row>
    <row r="6" spans="1:2" x14ac:dyDescent="0.25">
      <c r="A6" s="4" t="s">
        <v>9</v>
      </c>
      <c r="B6" s="5">
        <v>49507.66</v>
      </c>
    </row>
    <row r="7" spans="1:2" x14ac:dyDescent="0.25">
      <c r="A7" s="4" t="s">
        <v>10</v>
      </c>
      <c r="B7" s="5">
        <v>10.9</v>
      </c>
    </row>
    <row r="8" spans="1:2" x14ac:dyDescent="0.25">
      <c r="A8" s="3" t="s">
        <v>5</v>
      </c>
      <c r="B8" s="5">
        <v>6155806.9800000004</v>
      </c>
    </row>
    <row r="9" spans="1:2" x14ac:dyDescent="0.25">
      <c r="A9" s="4" t="s">
        <v>11</v>
      </c>
      <c r="B9" s="5">
        <v>120312.87</v>
      </c>
    </row>
    <row r="10" spans="1:2" x14ac:dyDescent="0.25">
      <c r="A10" s="4" t="s">
        <v>12</v>
      </c>
      <c r="B10" s="5">
        <v>247303.02</v>
      </c>
    </row>
    <row r="11" spans="1:2" x14ac:dyDescent="0.25">
      <c r="A11" s="4" t="s">
        <v>13</v>
      </c>
      <c r="B11" s="5">
        <v>374344.3</v>
      </c>
    </row>
    <row r="12" spans="1:2" x14ac:dyDescent="0.25">
      <c r="A12" s="4" t="s">
        <v>14</v>
      </c>
      <c r="B12" s="5">
        <v>359927.23</v>
      </c>
    </row>
    <row r="13" spans="1:2" x14ac:dyDescent="0.25">
      <c r="A13" s="4" t="s">
        <v>15</v>
      </c>
      <c r="B13" s="5">
        <v>506071.14</v>
      </c>
    </row>
    <row r="14" spans="1:2" x14ac:dyDescent="0.25">
      <c r="A14" s="4" t="s">
        <v>16</v>
      </c>
      <c r="B14" s="5">
        <v>433038.6</v>
      </c>
    </row>
    <row r="15" spans="1:2" x14ac:dyDescent="0.25">
      <c r="A15" s="4" t="s">
        <v>17</v>
      </c>
      <c r="B15" s="5">
        <v>498031.48</v>
      </c>
    </row>
    <row r="16" spans="1:2" x14ac:dyDescent="0.25">
      <c r="A16" s="4" t="s">
        <v>18</v>
      </c>
      <c r="B16" s="5">
        <v>573971.68000000005</v>
      </c>
    </row>
    <row r="17" spans="1:2" x14ac:dyDescent="0.25">
      <c r="A17" s="4" t="s">
        <v>8</v>
      </c>
      <c r="B17" s="5">
        <v>624401.68999999994</v>
      </c>
    </row>
    <row r="18" spans="1:2" x14ac:dyDescent="0.25">
      <c r="A18" s="4" t="s">
        <v>9</v>
      </c>
      <c r="B18" s="5">
        <v>664219.43000000005</v>
      </c>
    </row>
    <row r="19" spans="1:2" x14ac:dyDescent="0.25">
      <c r="A19" s="4" t="s">
        <v>19</v>
      </c>
      <c r="B19" s="5">
        <v>1010271.37</v>
      </c>
    </row>
    <row r="20" spans="1:2" x14ac:dyDescent="0.25">
      <c r="A20" s="4" t="s">
        <v>10</v>
      </c>
      <c r="B20" s="5">
        <v>743914.17</v>
      </c>
    </row>
    <row r="21" spans="1:2" x14ac:dyDescent="0.25">
      <c r="A21" s="3" t="s">
        <v>6</v>
      </c>
      <c r="B21" s="5">
        <v>7386050.7999999998</v>
      </c>
    </row>
    <row r="22" spans="1:2" x14ac:dyDescent="0.25">
      <c r="A22" s="4" t="s">
        <v>11</v>
      </c>
      <c r="B22" s="5">
        <v>950030.36</v>
      </c>
    </row>
    <row r="23" spans="1:2" x14ac:dyDescent="0.25">
      <c r="A23" s="4" t="s">
        <v>12</v>
      </c>
      <c r="B23" s="5">
        <v>844178.71</v>
      </c>
    </row>
    <row r="24" spans="1:2" x14ac:dyDescent="0.25">
      <c r="A24" s="4" t="s">
        <v>13</v>
      </c>
      <c r="B24" s="5">
        <v>983213.44</v>
      </c>
    </row>
    <row r="25" spans="1:2" x14ac:dyDescent="0.25">
      <c r="A25" s="4" t="s">
        <v>14</v>
      </c>
      <c r="B25" s="5">
        <v>996647.75</v>
      </c>
    </row>
    <row r="26" spans="1:2" x14ac:dyDescent="0.25">
      <c r="A26" s="4" t="s">
        <v>15</v>
      </c>
      <c r="B26" s="5">
        <v>996517.68</v>
      </c>
    </row>
    <row r="27" spans="1:2" x14ac:dyDescent="0.25">
      <c r="A27" s="4" t="s">
        <v>16</v>
      </c>
      <c r="B27" s="5">
        <v>865124.31</v>
      </c>
    </row>
    <row r="28" spans="1:2" x14ac:dyDescent="0.25">
      <c r="A28" s="4" t="s">
        <v>17</v>
      </c>
      <c r="B28" s="5">
        <v>895507.22</v>
      </c>
    </row>
    <row r="29" spans="1:2" x14ac:dyDescent="0.25">
      <c r="A29" s="4" t="s">
        <v>18</v>
      </c>
      <c r="B29" s="5">
        <v>854686.33</v>
      </c>
    </row>
    <row r="30" spans="1:2" x14ac:dyDescent="0.25">
      <c r="A30" s="4" t="s">
        <v>8</v>
      </c>
      <c r="B30" s="5">
        <v>145</v>
      </c>
    </row>
    <row r="31" spans="1:2" x14ac:dyDescent="0.25">
      <c r="A31" s="3" t="s">
        <v>3</v>
      </c>
      <c r="B31" s="5">
        <v>13591643.700000001</v>
      </c>
    </row>
  </sheetData>
  <pageMargins left="0.7" right="0.7" top="0.75" bottom="0.75" header="0.3" footer="0.3"/>
  <pageSetup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7074-5681-4E90-965A-9283D5B7D51A}">
  <dimension ref="A1:B25"/>
  <sheetViews>
    <sheetView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42614</v>
      </c>
      <c r="B2">
        <v>267.36</v>
      </c>
    </row>
    <row r="3" spans="1:2" x14ac:dyDescent="0.25">
      <c r="A3" s="1">
        <v>42644</v>
      </c>
      <c r="B3">
        <v>49507.66</v>
      </c>
    </row>
    <row r="4" spans="1:2" x14ac:dyDescent="0.25">
      <c r="A4" s="1">
        <v>42705</v>
      </c>
      <c r="B4">
        <v>10.9</v>
      </c>
    </row>
    <row r="5" spans="1:2" x14ac:dyDescent="0.25">
      <c r="A5" s="1">
        <v>42736</v>
      </c>
      <c r="B5">
        <v>120312.87</v>
      </c>
    </row>
    <row r="6" spans="1:2" x14ac:dyDescent="0.25">
      <c r="A6" s="1">
        <v>42767</v>
      </c>
      <c r="B6">
        <v>247303.02</v>
      </c>
    </row>
    <row r="7" spans="1:2" x14ac:dyDescent="0.25">
      <c r="A7" s="1">
        <v>42795</v>
      </c>
      <c r="B7">
        <v>374344.3</v>
      </c>
    </row>
    <row r="8" spans="1:2" x14ac:dyDescent="0.25">
      <c r="A8" s="1">
        <v>42826</v>
      </c>
      <c r="B8">
        <v>359927.23</v>
      </c>
    </row>
    <row r="9" spans="1:2" x14ac:dyDescent="0.25">
      <c r="A9" s="1">
        <v>42856</v>
      </c>
      <c r="B9">
        <v>506071.14</v>
      </c>
    </row>
    <row r="10" spans="1:2" x14ac:dyDescent="0.25">
      <c r="A10" s="1">
        <v>42887</v>
      </c>
      <c r="B10">
        <v>433038.6</v>
      </c>
    </row>
    <row r="11" spans="1:2" x14ac:dyDescent="0.25">
      <c r="A11" s="1">
        <v>42917</v>
      </c>
      <c r="B11">
        <v>498031.48</v>
      </c>
    </row>
    <row r="12" spans="1:2" x14ac:dyDescent="0.25">
      <c r="A12" s="1">
        <v>42948</v>
      </c>
      <c r="B12">
        <v>573971.68000000005</v>
      </c>
    </row>
    <row r="13" spans="1:2" x14ac:dyDescent="0.25">
      <c r="A13" s="1">
        <v>42979</v>
      </c>
      <c r="B13">
        <v>624401.68999999994</v>
      </c>
    </row>
    <row r="14" spans="1:2" x14ac:dyDescent="0.25">
      <c r="A14" s="1">
        <v>43009</v>
      </c>
      <c r="B14">
        <v>664219.43000000005</v>
      </c>
    </row>
    <row r="15" spans="1:2" x14ac:dyDescent="0.25">
      <c r="A15" s="1">
        <v>43040</v>
      </c>
      <c r="B15">
        <v>1010271.37</v>
      </c>
    </row>
    <row r="16" spans="1:2" x14ac:dyDescent="0.25">
      <c r="A16" s="1">
        <v>43070</v>
      </c>
      <c r="B16">
        <v>743914.17</v>
      </c>
    </row>
    <row r="17" spans="1:2" x14ac:dyDescent="0.25">
      <c r="A17" s="1">
        <v>43101</v>
      </c>
      <c r="B17">
        <v>950030.36</v>
      </c>
    </row>
    <row r="18" spans="1:2" x14ac:dyDescent="0.25">
      <c r="A18" s="1">
        <v>43132</v>
      </c>
      <c r="B18">
        <v>844178.71</v>
      </c>
    </row>
    <row r="19" spans="1:2" x14ac:dyDescent="0.25">
      <c r="A19" s="1">
        <v>43160</v>
      </c>
      <c r="B19">
        <v>983213.44</v>
      </c>
    </row>
    <row r="20" spans="1:2" x14ac:dyDescent="0.25">
      <c r="A20" s="1">
        <v>43191</v>
      </c>
      <c r="B20">
        <v>996647.75</v>
      </c>
    </row>
    <row r="21" spans="1:2" x14ac:dyDescent="0.25">
      <c r="A21" s="1">
        <v>43221</v>
      </c>
      <c r="B21">
        <v>996517.68</v>
      </c>
    </row>
    <row r="22" spans="1:2" x14ac:dyDescent="0.25">
      <c r="A22" s="1">
        <v>43252</v>
      </c>
      <c r="B22">
        <v>865124.31</v>
      </c>
    </row>
    <row r="23" spans="1:2" x14ac:dyDescent="0.25">
      <c r="A23" s="1">
        <v>43282</v>
      </c>
      <c r="B23">
        <v>895507.22</v>
      </c>
    </row>
    <row r="24" spans="1:2" x14ac:dyDescent="0.25">
      <c r="A24" s="1">
        <v>43313</v>
      </c>
      <c r="B24">
        <v>854686.33</v>
      </c>
    </row>
    <row r="25" spans="1:2" x14ac:dyDescent="0.25">
      <c r="A25" s="1">
        <v>43344</v>
      </c>
      <c r="B25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Siciliano</cp:lastModifiedBy>
  <dcterms:created xsi:type="dcterms:W3CDTF">2026-07-03T22:11:23Z</dcterms:created>
  <dcterms:modified xsi:type="dcterms:W3CDTF">2026-07-05T04:32:52Z</dcterms:modified>
</cp:coreProperties>
</file>